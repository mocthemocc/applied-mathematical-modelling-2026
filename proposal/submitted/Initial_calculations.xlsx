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curtin-my.sharepoint.com/personal/21975066_student_curtin_edu_au/Documents/MATH3001/"/>
    </mc:Choice>
  </mc:AlternateContent>
  <xr:revisionPtr revIDLastSave="0" documentId="8_{AF7F1A8F-288C-4C22-B0A6-3DB9A893B908}" xr6:coauthVersionLast="47" xr6:coauthVersionMax="47" xr10:uidLastSave="{00000000-0000-0000-0000-000000000000}"/>
  <bookViews>
    <workbookView xWindow="-120" yWindow="-120" windowWidth="29040" windowHeight="15720" firstSheet="2" activeTab="2" xr2:uid="{8D107890-AD8C-44C2-967C-669D6C983F29}"/>
  </bookViews>
  <sheets>
    <sheet name="ORIGINAL " sheetId="1" r:id="rId1"/>
    <sheet name="INCLUDE WALLS" sheetId="3" r:id="rId2"/>
    <sheet name="EXTRA FLOOR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2" l="1"/>
  <c r="M19" i="3"/>
  <c r="D22" i="3"/>
  <c r="D21" i="3"/>
  <c r="D20" i="3"/>
  <c r="D19" i="3"/>
  <c r="B9" i="3"/>
  <c r="E7" i="3"/>
  <c r="B4" i="3"/>
  <c r="E11" i="3" s="1"/>
  <c r="E2" i="3"/>
  <c r="E21" i="2"/>
  <c r="B14" i="2" s="1"/>
  <c r="E20" i="2"/>
  <c r="E19" i="2"/>
  <c r="E2" i="1"/>
  <c r="B9" i="1" s="1"/>
  <c r="E22" i="2" l="1"/>
  <c r="B4" i="2" s="1"/>
  <c r="E11" i="1"/>
  <c r="E7" i="1"/>
  <c r="B9" i="2" l="1"/>
  <c r="F11" i="2" l="1"/>
  <c r="F7" i="2"/>
</calcChain>
</file>

<file path=xl/sharedStrings.xml><?xml version="1.0" encoding="utf-8"?>
<sst xmlns="http://schemas.openxmlformats.org/spreadsheetml/2006/main" count="86" uniqueCount="40">
  <si>
    <t>Q h</t>
  </si>
  <si>
    <t>?</t>
  </si>
  <si>
    <t>TL=</t>
  </si>
  <si>
    <t>U env</t>
  </si>
  <si>
    <t>(B7*B8*B6+B10*B11*B12) / (B7*B8 +B10*B11)</t>
  </si>
  <si>
    <t>A env</t>
  </si>
  <si>
    <t>T env</t>
  </si>
  <si>
    <t>T U</t>
  </si>
  <si>
    <t>U UL</t>
  </si>
  <si>
    <t>Qc=</t>
  </si>
  <si>
    <t>A UL</t>
  </si>
  <si>
    <t>B10*B11*(B9-B12)</t>
  </si>
  <si>
    <t>T L (calculated)</t>
  </si>
  <si>
    <t>U LI</t>
  </si>
  <si>
    <t>A ice</t>
  </si>
  <si>
    <t>Qh=</t>
  </si>
  <si>
    <t>T ice</t>
  </si>
  <si>
    <t>B7*B8*(B6-B9) - B3*B4*(B5-B6)</t>
  </si>
  <si>
    <t>Q c</t>
  </si>
  <si>
    <t>Dimensions</t>
  </si>
  <si>
    <t>Area</t>
  </si>
  <si>
    <t>Width</t>
  </si>
  <si>
    <t>Small wall</t>
  </si>
  <si>
    <t>Takes into account the walls as part of A_env</t>
  </si>
  <si>
    <t>Length</t>
  </si>
  <si>
    <t>Large wall</t>
  </si>
  <si>
    <t>Height</t>
  </si>
  <si>
    <t>roof</t>
  </si>
  <si>
    <t>Total</t>
  </si>
  <si>
    <t>TL =</t>
  </si>
  <si>
    <t>˚C</t>
  </si>
  <si>
    <t>(B7*B8*B6+B10*B11*B12 + B14*B15*B16) / (B7*B8 +B10*B11 + B15*B14)</t>
  </si>
  <si>
    <t>Qc =</t>
  </si>
  <si>
    <t>W</t>
  </si>
  <si>
    <t>Qh =</t>
  </si>
  <si>
    <t>A floor</t>
  </si>
  <si>
    <t>U LF</t>
  </si>
  <si>
    <t>T F</t>
  </si>
  <si>
    <t>A_env takes into account all surface area of the Upper-Zone</t>
  </si>
  <si>
    <t>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</si>
</sst>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right"/>
    </xf>
    <xf numFmtId="2" fontId="0" fillId="3" borderId="0" xfId="0" applyNumberFormat="1" applyFill="1"/>
    <xf numFmtId="0" fontId="2" fillId="3" borderId="0" xfId="0" applyFont="1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6</xdr:col>
      <xdr:colOff>198120</xdr:colOff>
      <xdr:row>4</xdr:row>
      <xdr:rowOff>175260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DCB5118-862A-4BF9-9111-EF710B5F4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548640"/>
          <a:ext cx="141732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5</xdr:col>
      <xdr:colOff>457200</xdr:colOff>
      <xdr:row>8</xdr:row>
      <xdr:rowOff>175260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4C29DD1-CF40-9090-9ED5-49AAB7D16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" y="1463040"/>
          <a:ext cx="10668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7</xdr:col>
      <xdr:colOff>586740</xdr:colOff>
      <xdr:row>12</xdr:row>
      <xdr:rowOff>175260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C5C2F9B-D9AA-EE23-7CAF-BBD1BA78B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5080" y="2194560"/>
          <a:ext cx="2415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6</xdr:col>
      <xdr:colOff>198120</xdr:colOff>
      <xdr:row>4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B3678A-4171-4FB3-8154-C2723E42E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7960" y="548640"/>
          <a:ext cx="141732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5</xdr:col>
      <xdr:colOff>457200</xdr:colOff>
      <xdr:row>8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B909D7-D5C5-41A6-AB23-8DCECACCF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7960" y="1463040"/>
          <a:ext cx="106680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7</xdr:col>
      <xdr:colOff>586740</xdr:colOff>
      <xdr:row>12</xdr:row>
      <xdr:rowOff>175260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19B8BB-BB48-41A7-A38A-0444A02E0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7960" y="2194560"/>
          <a:ext cx="2415540" cy="175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8</xdr:row>
      <xdr:rowOff>0</xdr:rowOff>
    </xdr:from>
    <xdr:to>
      <xdr:col>8</xdr:col>
      <xdr:colOff>9525</xdr:colOff>
      <xdr:row>9</xdr:row>
      <xdr:rowOff>61436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1CC200-BA6A-40CE-98A7-2B89F87F1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1524000"/>
          <a:ext cx="1533525" cy="251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57150</xdr:colOff>
      <xdr:row>12</xdr:row>
      <xdr:rowOff>47624</xdr:rowOff>
    </xdr:from>
    <xdr:to>
      <xdr:col>10</xdr:col>
      <xdr:colOff>291134</xdr:colOff>
      <xdr:row>13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A8A2F6-0443-40A5-BD5B-FF9E4E775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3775" y="2333624"/>
          <a:ext cx="3348659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200025</xdr:colOff>
      <xdr:row>3</xdr:row>
      <xdr:rowOff>76200</xdr:rowOff>
    </xdr:from>
    <xdr:to>
      <xdr:col>10</xdr:col>
      <xdr:colOff>419100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E18D5B-5F4B-2303-BB71-485DF7370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647700"/>
          <a:ext cx="265747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8145-6578-4EB8-9CD5-12D3B6982A97}">
  <dimension ref="A2:E13"/>
  <sheetViews>
    <sheetView workbookViewId="0">
      <selection activeCell="D7" sqref="D7"/>
    </sheetView>
  </sheetViews>
  <sheetFormatPr defaultRowHeight="15"/>
  <cols>
    <col min="1" max="1" width="13.140625" bestFit="1" customWidth="1"/>
  </cols>
  <sheetData>
    <row r="2" spans="1:5">
      <c r="A2" t="s">
        <v>0</v>
      </c>
      <c r="B2" s="1" t="s">
        <v>1</v>
      </c>
      <c r="D2" t="s">
        <v>2</v>
      </c>
      <c r="E2">
        <f>(B7*B8*B6+B10*B11*B12) / (B7*B8 +B10*B11)</f>
        <v>4.96</v>
      </c>
    </row>
    <row r="3" spans="1:5">
      <c r="A3" t="s">
        <v>3</v>
      </c>
      <c r="B3">
        <v>0.43</v>
      </c>
      <c r="E3" t="s">
        <v>4</v>
      </c>
    </row>
    <row r="4" spans="1:5">
      <c r="A4" t="s">
        <v>5</v>
      </c>
      <c r="B4">
        <v>4000</v>
      </c>
    </row>
    <row r="5" spans="1:5">
      <c r="A5" t="s">
        <v>6</v>
      </c>
      <c r="B5">
        <v>32.1</v>
      </c>
    </row>
    <row r="6" spans="1:5">
      <c r="A6" t="s">
        <v>7</v>
      </c>
      <c r="B6">
        <v>10</v>
      </c>
    </row>
    <row r="7" spans="1:5">
      <c r="A7" t="s">
        <v>8</v>
      </c>
      <c r="B7">
        <v>4</v>
      </c>
      <c r="D7" t="s">
        <v>9</v>
      </c>
      <c r="E7">
        <f>B10*B11*(B9-B12)</f>
        <v>80640.000000000015</v>
      </c>
    </row>
    <row r="8" spans="1:5">
      <c r="A8" t="s">
        <v>10</v>
      </c>
      <c r="B8">
        <v>4000</v>
      </c>
      <c r="E8" t="s">
        <v>11</v>
      </c>
    </row>
    <row r="9" spans="1:5">
      <c r="A9" t="s">
        <v>12</v>
      </c>
      <c r="B9" s="1">
        <f>E2</f>
        <v>4.96</v>
      </c>
    </row>
    <row r="10" spans="1:5">
      <c r="A10" t="s">
        <v>13</v>
      </c>
      <c r="B10">
        <v>5</v>
      </c>
    </row>
    <row r="11" spans="1:5">
      <c r="A11" t="s">
        <v>14</v>
      </c>
      <c r="B11">
        <v>1800</v>
      </c>
      <c r="D11" t="s">
        <v>15</v>
      </c>
      <c r="E11">
        <f>B7*B8*(B6-B9) - B3*B4*(B5-B6)</f>
        <v>42628</v>
      </c>
    </row>
    <row r="12" spans="1:5">
      <c r="A12" t="s">
        <v>16</v>
      </c>
      <c r="B12">
        <v>-4</v>
      </c>
      <c r="E12" t="s">
        <v>17</v>
      </c>
    </row>
    <row r="13" spans="1:5">
      <c r="A13" t="s">
        <v>18</v>
      </c>
      <c r="B13" s="1" t="s">
        <v>1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9324-8C74-4F25-BFBA-C940E5A0A02B}">
  <dimension ref="A2:M22"/>
  <sheetViews>
    <sheetView workbookViewId="0">
      <selection activeCell="M20" sqref="M20"/>
    </sheetView>
  </sheetViews>
  <sheetFormatPr defaultRowHeight="15"/>
  <cols>
    <col min="1" max="1" width="13.140625" bestFit="1" customWidth="1"/>
  </cols>
  <sheetData>
    <row r="2" spans="1:5">
      <c r="A2" t="s">
        <v>0</v>
      </c>
      <c r="B2" s="1" t="s">
        <v>1</v>
      </c>
      <c r="D2" t="s">
        <v>2</v>
      </c>
      <c r="E2">
        <f>(B7*B8*B6+B10*B11*B12) / (B7*B8 +B10*B11)</f>
        <v>4.5999999999999996</v>
      </c>
    </row>
    <row r="3" spans="1:5">
      <c r="A3" t="s">
        <v>3</v>
      </c>
      <c r="B3">
        <v>0.43</v>
      </c>
      <c r="E3" t="s">
        <v>4</v>
      </c>
    </row>
    <row r="4" spans="1:5">
      <c r="A4" t="s">
        <v>5</v>
      </c>
      <c r="B4">
        <f>D22</f>
        <v>6600</v>
      </c>
    </row>
    <row r="5" spans="1:5">
      <c r="A5" t="s">
        <v>6</v>
      </c>
      <c r="B5">
        <v>32.1</v>
      </c>
    </row>
    <row r="6" spans="1:5">
      <c r="A6" t="s">
        <v>7</v>
      </c>
      <c r="B6">
        <v>10</v>
      </c>
    </row>
    <row r="7" spans="1:5">
      <c r="A7" t="s">
        <v>8</v>
      </c>
      <c r="B7">
        <v>4</v>
      </c>
      <c r="D7" t="s">
        <v>9</v>
      </c>
      <c r="E7">
        <f>B10*B11*(B9-B12)</f>
        <v>86400</v>
      </c>
    </row>
    <row r="8" spans="1:5">
      <c r="A8" t="s">
        <v>10</v>
      </c>
      <c r="B8">
        <v>4000</v>
      </c>
      <c r="E8" t="s">
        <v>11</v>
      </c>
    </row>
    <row r="9" spans="1:5">
      <c r="A9" t="s">
        <v>12</v>
      </c>
      <c r="B9" s="1">
        <f>E2</f>
        <v>4.5999999999999996</v>
      </c>
    </row>
    <row r="10" spans="1:5">
      <c r="A10" t="s">
        <v>13</v>
      </c>
      <c r="B10">
        <v>5</v>
      </c>
    </row>
    <row r="11" spans="1:5">
      <c r="A11" t="s">
        <v>14</v>
      </c>
      <c r="B11">
        <v>1800</v>
      </c>
      <c r="D11" t="s">
        <v>15</v>
      </c>
      <c r="E11">
        <f>B7*B8*(B6-B9) - B3*B4*(B5-B6)</f>
        <v>23680.199999999997</v>
      </c>
    </row>
    <row r="12" spans="1:5">
      <c r="A12" t="s">
        <v>16</v>
      </c>
      <c r="B12">
        <v>-5</v>
      </c>
      <c r="E12" t="s">
        <v>17</v>
      </c>
    </row>
    <row r="13" spans="1:5">
      <c r="A13" t="s">
        <v>18</v>
      </c>
      <c r="B13" s="1" t="s">
        <v>1</v>
      </c>
    </row>
    <row r="18" spans="1:13">
      <c r="A18" t="s">
        <v>19</v>
      </c>
      <c r="C18" t="s">
        <v>20</v>
      </c>
    </row>
    <row r="19" spans="1:13">
      <c r="A19" t="s">
        <v>21</v>
      </c>
      <c r="B19">
        <v>50</v>
      </c>
      <c r="C19" t="s">
        <v>22</v>
      </c>
      <c r="D19">
        <f>B19*B21</f>
        <v>1000</v>
      </c>
      <c r="F19" t="s">
        <v>23</v>
      </c>
      <c r="M19">
        <f>4*0.2+5.6</f>
        <v>6.3999999999999995</v>
      </c>
    </row>
    <row r="20" spans="1:13">
      <c r="A20" t="s">
        <v>24</v>
      </c>
      <c r="B20">
        <v>80</v>
      </c>
      <c r="C20" t="s">
        <v>25</v>
      </c>
      <c r="D20">
        <f>B20*B21</f>
        <v>1600</v>
      </c>
    </row>
    <row r="21" spans="1:13">
      <c r="A21" t="s">
        <v>26</v>
      </c>
      <c r="B21">
        <v>20</v>
      </c>
      <c r="C21" t="s">
        <v>27</v>
      </c>
      <c r="D21">
        <f>B19*B20</f>
        <v>4000</v>
      </c>
    </row>
    <row r="22" spans="1:13">
      <c r="C22" t="s">
        <v>28</v>
      </c>
      <c r="D22">
        <f>D19+D20+D21</f>
        <v>6600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659C-3139-4B40-AE70-123C4D5A1452}">
  <dimension ref="A2:K22"/>
  <sheetViews>
    <sheetView tabSelected="1" workbookViewId="0">
      <selection activeCell="K8" sqref="K8"/>
    </sheetView>
  </sheetViews>
  <sheetFormatPr defaultRowHeight="15"/>
  <cols>
    <col min="1" max="1" width="14.5703125" bestFit="1" customWidth="1"/>
    <col min="4" max="4" width="10.140625" bestFit="1" customWidth="1"/>
    <col min="6" max="6" width="10.140625" customWidth="1"/>
  </cols>
  <sheetData>
    <row r="2" spans="1:11">
      <c r="A2" t="s">
        <v>0</v>
      </c>
      <c r="B2" s="2" t="s">
        <v>1</v>
      </c>
      <c r="E2" t="s">
        <v>29</v>
      </c>
      <c r="F2" s="3">
        <f>(B7*B8*B6+B10*B11*B12 + B14*B15*B16) / (B7*B8 +B10*B11 + B15*B14)</f>
        <v>5.8249744114636641</v>
      </c>
      <c r="G2" s="4" t="s">
        <v>30</v>
      </c>
    </row>
    <row r="3" spans="1:11">
      <c r="A3" t="s">
        <v>3</v>
      </c>
      <c r="B3">
        <v>0.43</v>
      </c>
      <c r="F3" t="s">
        <v>31</v>
      </c>
    </row>
    <row r="4" spans="1:11">
      <c r="A4" t="s">
        <v>5</v>
      </c>
      <c r="B4">
        <f>E22</f>
        <v>5300</v>
      </c>
      <c r="G4" s="7"/>
      <c r="H4" s="7"/>
      <c r="I4" s="7"/>
      <c r="J4" s="7"/>
      <c r="K4" s="7"/>
    </row>
    <row r="5" spans="1:11">
      <c r="A5" t="s">
        <v>6</v>
      </c>
      <c r="B5">
        <v>32.1</v>
      </c>
      <c r="G5" s="7"/>
      <c r="H5" s="7"/>
      <c r="I5" s="7"/>
      <c r="J5" s="7"/>
      <c r="K5" s="7"/>
    </row>
    <row r="6" spans="1:11">
      <c r="A6" t="s">
        <v>7</v>
      </c>
      <c r="B6">
        <v>10</v>
      </c>
      <c r="G6" s="7"/>
      <c r="H6" s="7"/>
      <c r="I6" s="7"/>
      <c r="J6" s="7"/>
      <c r="K6" s="7"/>
    </row>
    <row r="7" spans="1:11">
      <c r="A7" t="s">
        <v>8</v>
      </c>
      <c r="B7">
        <v>4</v>
      </c>
      <c r="E7" t="s">
        <v>32</v>
      </c>
      <c r="F7" s="3">
        <f>B10*B11*(B9-B12)</f>
        <v>97424.769703172977</v>
      </c>
      <c r="G7" s="5" t="s">
        <v>33</v>
      </c>
    </row>
    <row r="8" spans="1:11">
      <c r="A8" t="s">
        <v>10</v>
      </c>
      <c r="B8">
        <v>4000</v>
      </c>
      <c r="F8" t="s">
        <v>11</v>
      </c>
    </row>
    <row r="9" spans="1:11">
      <c r="A9" t="s">
        <v>12</v>
      </c>
      <c r="B9" s="5">
        <f>F2</f>
        <v>5.8249744114636641</v>
      </c>
      <c r="F9" s="7"/>
      <c r="G9" s="7"/>
      <c r="H9" s="7"/>
    </row>
    <row r="10" spans="1:11">
      <c r="A10" t="s">
        <v>13</v>
      </c>
      <c r="B10">
        <v>5</v>
      </c>
      <c r="F10" s="7"/>
      <c r="G10" s="7"/>
      <c r="H10" s="7"/>
    </row>
    <row r="11" spans="1:11">
      <c r="A11" t="s">
        <v>14</v>
      </c>
      <c r="B11">
        <v>1800</v>
      </c>
      <c r="E11" t="s">
        <v>34</v>
      </c>
      <c r="F11" s="3">
        <f>B7*B8*(B6-B9) - B3*B4*(B5-B6)</f>
        <v>16434.509416581372</v>
      </c>
      <c r="G11" s="5" t="s">
        <v>33</v>
      </c>
    </row>
    <row r="12" spans="1:11">
      <c r="A12" t="s">
        <v>16</v>
      </c>
      <c r="B12">
        <v>-5</v>
      </c>
      <c r="F12" t="s">
        <v>17</v>
      </c>
    </row>
    <row r="13" spans="1:11">
      <c r="A13" t="s">
        <v>18</v>
      </c>
      <c r="B13" s="6" t="s">
        <v>1</v>
      </c>
      <c r="F13" s="7"/>
      <c r="G13" s="7"/>
      <c r="H13" s="7"/>
      <c r="I13" s="7"/>
      <c r="J13" s="7"/>
      <c r="K13" s="7"/>
    </row>
    <row r="14" spans="1:11">
      <c r="A14" t="s">
        <v>35</v>
      </c>
      <c r="B14">
        <f>E21-B11</f>
        <v>2200</v>
      </c>
      <c r="F14" s="7"/>
      <c r="G14" s="7"/>
      <c r="H14" s="7"/>
      <c r="I14" s="7"/>
      <c r="J14" s="7"/>
      <c r="K14" s="7"/>
    </row>
    <row r="15" spans="1:11">
      <c r="A15" t="s">
        <v>36</v>
      </c>
      <c r="B15">
        <v>6.4</v>
      </c>
    </row>
    <row r="16" spans="1:11">
      <c r="A16" t="s">
        <v>37</v>
      </c>
      <c r="B16">
        <v>8</v>
      </c>
    </row>
    <row r="18" spans="1:7">
      <c r="A18" t="s">
        <v>19</v>
      </c>
      <c r="D18" t="s">
        <v>20</v>
      </c>
    </row>
    <row r="19" spans="1:7">
      <c r="A19" t="s">
        <v>21</v>
      </c>
      <c r="B19">
        <v>50</v>
      </c>
      <c r="D19" t="s">
        <v>22</v>
      </c>
      <c r="E19">
        <f>B19*B21</f>
        <v>500</v>
      </c>
      <c r="G19" t="s">
        <v>38</v>
      </c>
    </row>
    <row r="20" spans="1:7">
      <c r="A20" t="s">
        <v>24</v>
      </c>
      <c r="B20">
        <v>80</v>
      </c>
      <c r="D20" t="s">
        <v>25</v>
      </c>
      <c r="E20">
        <f>B20*B21</f>
        <v>800</v>
      </c>
    </row>
    <row r="21" spans="1:7">
      <c r="A21" t="s">
        <v>26</v>
      </c>
      <c r="B21">
        <v>10</v>
      </c>
      <c r="D21" t="s">
        <v>39</v>
      </c>
      <c r="E21">
        <f>B19*B20</f>
        <v>4000</v>
      </c>
    </row>
    <row r="22" spans="1:7">
      <c r="D22" t="s">
        <v>28</v>
      </c>
      <c r="E22">
        <f>E19+E20+E21</f>
        <v>5300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Jake Pedersen (Student)</dc:creator>
  <cp:keywords/>
  <dc:description/>
  <cp:lastModifiedBy/>
  <cp:revision/>
  <dcterms:created xsi:type="dcterms:W3CDTF">2026-09-17T07:44:43Z</dcterms:created>
  <dcterms:modified xsi:type="dcterms:W3CDTF">2026-09-22T16:57:22Z</dcterms:modified>
  <cp:category/>
  <cp:contentStatus/>
</cp:coreProperties>
</file>